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sonal\school-management-system\backend\"/>
    </mc:Choice>
  </mc:AlternateContent>
  <xr:revisionPtr revIDLastSave="0" documentId="13_ncr:1_{790B2393-F49F-4F81-8957-E6B7B1D23C8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ceipts" sheetId="1" r:id="rId1"/>
    <sheet name="Payments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3" l="1"/>
  <c r="C18" i="3"/>
  <c r="D17" i="3"/>
  <c r="E17" i="3" s="1"/>
  <c r="D16" i="3"/>
  <c r="E16" i="3" s="1"/>
  <c r="D15" i="3"/>
  <c r="E15" i="3" s="1"/>
  <c r="D14" i="3"/>
  <c r="E14" i="3" s="1"/>
  <c r="D13" i="3"/>
  <c r="E13" i="3" s="1"/>
  <c r="D12" i="3"/>
  <c r="E12" i="3" s="1"/>
  <c r="D11" i="3"/>
  <c r="D18" i="3" s="1"/>
  <c r="C6" i="3"/>
  <c r="B6" i="3"/>
  <c r="E11" i="3" l="1"/>
  <c r="E18" i="3" s="1"/>
</calcChain>
</file>

<file path=xl/sharedStrings.xml><?xml version="1.0" encoding="utf-8"?>
<sst xmlns="http://schemas.openxmlformats.org/spreadsheetml/2006/main" count="135" uniqueCount="86">
  <si>
    <t>Date</t>
  </si>
  <si>
    <t>Receipt ID</t>
  </si>
  <si>
    <t>Source</t>
  </si>
  <si>
    <t>Description</t>
  </si>
  <si>
    <t>Category</t>
  </si>
  <si>
    <t>Amount</t>
  </si>
  <si>
    <t>Method</t>
  </si>
  <si>
    <t>Status</t>
  </si>
  <si>
    <t>REC-001</t>
  </si>
  <si>
    <t>REC-002</t>
  </si>
  <si>
    <t>REC-003</t>
  </si>
  <si>
    <t>REC-004</t>
  </si>
  <si>
    <t>REC-005</t>
  </si>
  <si>
    <t>Client Deposit</t>
  </si>
  <si>
    <t>Bank Al-Habib</t>
  </si>
  <si>
    <t>Client Payment</t>
  </si>
  <si>
    <t>Initial Booking Token</t>
  </si>
  <si>
    <t>Construction Loan Tranche 1</t>
  </si>
  <si>
    <t>Milestone: Plinth Level</t>
  </si>
  <si>
    <t>Construction Loan Tranche 2</t>
  </si>
  <si>
    <t>Milestone: Grey Structure</t>
  </si>
  <si>
    <t>Deposit</t>
  </si>
  <si>
    <t>Loan Draw</t>
  </si>
  <si>
    <t>Progress Payment</t>
  </si>
  <si>
    <t>Cheque</t>
  </si>
  <si>
    <t>Bank Transfer</t>
  </si>
  <si>
    <t>Online Transfer</t>
  </si>
  <si>
    <t>Received</t>
  </si>
  <si>
    <t>Pending</t>
  </si>
  <si>
    <t>Payment ID</t>
  </si>
  <si>
    <t>Vendor</t>
  </si>
  <si>
    <t>EXP-101</t>
  </si>
  <si>
    <t>EXP-102</t>
  </si>
  <si>
    <t>EXP-103</t>
  </si>
  <si>
    <t>EXP-104</t>
  </si>
  <si>
    <t>EXP-105</t>
  </si>
  <si>
    <t>EXP-106</t>
  </si>
  <si>
    <t>EXP-107</t>
  </si>
  <si>
    <t>EXP-108</t>
  </si>
  <si>
    <t>EXP-109</t>
  </si>
  <si>
    <t>EXP-110</t>
  </si>
  <si>
    <t>EXP-111</t>
  </si>
  <si>
    <t>EXP-112</t>
  </si>
  <si>
    <t>RDA</t>
  </si>
  <si>
    <t>Jamil Excavators</t>
  </si>
  <si>
    <t>Bestway Cement</t>
  </si>
  <si>
    <t>Amreli Steels</t>
  </si>
  <si>
    <t>Labor Contractor</t>
  </si>
  <si>
    <t>Local Sand Supplier</t>
  </si>
  <si>
    <t>Bricks Company</t>
  </si>
  <si>
    <t>Pak Cables</t>
  </si>
  <si>
    <t>Master Sanitary</t>
  </si>
  <si>
    <t>Rental Services</t>
  </si>
  <si>
    <t>Site Security</t>
  </si>
  <si>
    <t>Map Approval &amp; NOC</t>
  </si>
  <si>
    <t>Plot Leveling &amp; Excavation</t>
  </si>
  <si>
    <t>Cement (400 Bags)</t>
  </si>
  <si>
    <t>Steel Rebar (5 Tons)</t>
  </si>
  <si>
    <t>Labor - Foundation Work</t>
  </si>
  <si>
    <t>Sand &amp; Crush (20 Dumpers)</t>
  </si>
  <si>
    <t>A-Class Bricks (50,000)</t>
  </si>
  <si>
    <t>Labor - Brickwork (1st Floor)</t>
  </si>
  <si>
    <t>Electrical Piping &amp; Boxes</t>
  </si>
  <si>
    <t>Plumbing Rough-in</t>
  </si>
  <si>
    <t>Shuttering &amp; Scaffolding</t>
  </si>
  <si>
    <t>Guard Salary (3 Months)</t>
  </si>
  <si>
    <t>Permits</t>
  </si>
  <si>
    <t>Site Prep</t>
  </si>
  <si>
    <t>Materials</t>
  </si>
  <si>
    <t>Labor</t>
  </si>
  <si>
    <t>Subcontractor</t>
  </si>
  <si>
    <t>Equipment</t>
  </si>
  <si>
    <t>Overhead</t>
  </si>
  <si>
    <t>Pay Order</t>
  </si>
  <si>
    <t>Cash</t>
  </si>
  <si>
    <t>Invoice</t>
  </si>
  <si>
    <t>Paid</t>
  </si>
  <si>
    <t>Project Dashboard: Skyline Heights - Phase 1 (Rawalpindi)</t>
  </si>
  <si>
    <t>Total Inflow (Receipts)</t>
  </si>
  <si>
    <t>Total Outflow (Payments)</t>
  </si>
  <si>
    <t>Net Cash Balance</t>
  </si>
  <si>
    <t>Budget vs Actual Breakdown</t>
  </si>
  <si>
    <t>Budget (PKR)</t>
  </si>
  <si>
    <t>Actual (PKR)</t>
  </si>
  <si>
    <t>Variance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</si>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</sst>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5" formatCode="&quot;Rs. &quot;#,##0"/>
    <numFmt numFmtId="166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ECF0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/>
    <xf numFmtId="166" fontId="0" fillId="0" borderId="0" xfId="0" applyNumberFormat="1"/>
    <xf numFmtId="0" fontId="1" fillId="3" borderId="1" xfId="0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165" fontId="4" fillId="4" borderId="1" xfId="0" applyNumberFormat="1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Budget vs Actual Spending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solidFill>
              <a:srgbClr val="3498DB"/>
            </a:solidFill>
          </c:spPr>
          <c:invertIfNegative val="0"/>
          <c:cat>
            <c:strRef>
              <c:f>Summary!$B$11:$B$17</c:f>
              <c:strCache>
                <c:ptCount val="7"/>
                <c:pt idx="0">
                  <c:v>Materials</c:v>
                </c:pt>
                <c:pt idx="1">
                  <c:v>Labor</c:v>
                </c:pt>
                <c:pt idx="2">
                  <c:v>Subcontractor</c:v>
                </c:pt>
                <c:pt idx="3">
                  <c:v>Site Prep</c:v>
                </c:pt>
                <c:pt idx="4">
                  <c:v>Equipment</c:v>
                </c:pt>
                <c:pt idx="5">
                  <c:v>Permits</c:v>
                </c:pt>
                <c:pt idx="6">
                  <c:v>Overhead</c:v>
                </c:pt>
              </c:strCache>
            </c:strRef>
          </c:cat>
          <c:val>
            <c:numRef>
              <c:f>Summary!$C$11:$C$17</c:f>
              <c:numCache>
                <c:formatCode>"Rs. "#,##0</c:formatCode>
                <c:ptCount val="7"/>
                <c:pt idx="0">
                  <c:v>4000000</c:v>
                </c:pt>
                <c:pt idx="1">
                  <c:v>2000000</c:v>
                </c:pt>
                <c:pt idx="2">
                  <c:v>1000000</c:v>
                </c:pt>
                <c:pt idx="3">
                  <c:v>500000</c:v>
                </c:pt>
                <c:pt idx="4">
                  <c:v>300000</c:v>
                </c:pt>
                <c:pt idx="5">
                  <c:v>200000</c:v>
                </c:pt>
                <c:pt idx="6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3-4175-B456-63D1601430D6}"/>
            </c:ext>
          </c:extLst>
        </c:ser>
        <c:ser>
          <c:idx val="1"/>
          <c:order val="1"/>
          <c:tx>
            <c:v>Actual</c:v>
          </c:tx>
          <c:spPr>
            <a:solidFill>
              <a:srgbClr val="E74C3C"/>
            </a:solidFill>
          </c:spPr>
          <c:invertIfNegative val="0"/>
          <c:cat>
            <c:strRef>
              <c:f>Summary!$B$11:$B$17</c:f>
              <c:strCache>
                <c:ptCount val="7"/>
                <c:pt idx="0">
                  <c:v>Materials</c:v>
                </c:pt>
                <c:pt idx="1">
                  <c:v>Labor</c:v>
                </c:pt>
                <c:pt idx="2">
                  <c:v>Subcontractor</c:v>
                </c:pt>
                <c:pt idx="3">
                  <c:v>Site Prep</c:v>
                </c:pt>
                <c:pt idx="4">
                  <c:v>Equipment</c:v>
                </c:pt>
                <c:pt idx="5">
                  <c:v>Permits</c:v>
                </c:pt>
                <c:pt idx="6">
                  <c:v>Overhead</c:v>
                </c:pt>
              </c:strCache>
            </c:strRef>
          </c:cat>
          <c:val>
            <c:numRef>
              <c:f>Summary!$D$11:$D$17</c:f>
              <c:numCache>
                <c:formatCode>"Rs. "#,##0</c:formatCode>
                <c:ptCount val="7"/>
                <c:pt idx="0">
                  <c:v>3180000</c:v>
                </c:pt>
                <c:pt idx="1">
                  <c:v>1750000</c:v>
                </c:pt>
                <c:pt idx="2">
                  <c:v>770000</c:v>
                </c:pt>
                <c:pt idx="3">
                  <c:v>450000</c:v>
                </c:pt>
                <c:pt idx="4">
                  <c:v>250000</c:v>
                </c:pt>
                <c:pt idx="5">
                  <c:v>150000</c:v>
                </c:pt>
                <c:pt idx="6">
                  <c:v>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E3-4175-B456-63D160143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(PKR)</a:t>
                </a:r>
              </a:p>
            </c:rich>
          </c:tx>
          <c:overlay val="0"/>
        </c:title>
        <c:numFmt formatCode="&quot;Rs. &quot;#,##0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Cost Breakdown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Expense Distribution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Summary!$B$11:$B$17</c:f>
              <c:strCache>
                <c:ptCount val="7"/>
                <c:pt idx="0">
                  <c:v>Materials</c:v>
                </c:pt>
                <c:pt idx="1">
                  <c:v>Labor</c:v>
                </c:pt>
                <c:pt idx="2">
                  <c:v>Subcontractor</c:v>
                </c:pt>
                <c:pt idx="3">
                  <c:v>Site Prep</c:v>
                </c:pt>
                <c:pt idx="4">
                  <c:v>Equipment</c:v>
                </c:pt>
                <c:pt idx="5">
                  <c:v>Permits</c:v>
                </c:pt>
                <c:pt idx="6">
                  <c:v>Overhead</c:v>
                </c:pt>
              </c:strCache>
            </c:strRef>
          </c:cat>
          <c:val>
            <c:numRef>
              <c:f>Summary!$D$11:$D$17</c:f>
              <c:numCache>
                <c:formatCode>"Rs. "#,##0</c:formatCode>
                <c:ptCount val="7"/>
                <c:pt idx="0">
                  <c:v>3180000</c:v>
                </c:pt>
                <c:pt idx="1">
                  <c:v>1750000</c:v>
                </c:pt>
                <c:pt idx="2">
                  <c:v>770000</c:v>
                </c:pt>
                <c:pt idx="3">
                  <c:v>450000</c:v>
                </c:pt>
                <c:pt idx="4">
                  <c:v>250000</c:v>
                </c:pt>
                <c:pt idx="5">
                  <c:v>150000</c:v>
                </c:pt>
                <c:pt idx="6">
                  <c:v>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8-4E3B-AACE-604D274D6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1</xdr:row>
      <xdr:rowOff>99060</xdr:rowOff>
    </xdr:from>
    <xdr:to>
      <xdr:col>17</xdr:col>
      <xdr:colOff>160020</xdr:colOff>
      <xdr:row>18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17</xdr:col>
      <xdr:colOff>152400</xdr:colOff>
      <xdr:row>36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7"/>
  <sheetViews>
    <sheetView workbookViewId="0">
      <selection activeCell="G7" sqref="G7"/>
    </sheetView>
  </sheetViews>
  <sheetFormatPr defaultRowHeight="14.4" x14ac:dyDescent="0.3"/>
  <cols>
    <col min="1" max="1" width="12.6640625" style="1" customWidth="1"/>
    <col min="2" max="5" width="25.6640625" customWidth="1"/>
    <col min="6" max="6" width="18.6640625" style="2" customWidth="1"/>
    <col min="7" max="8" width="15.6640625" customWidth="1"/>
  </cols>
  <sheetData>
    <row r="2" spans="1:8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3">
      <c r="A3" s="4">
        <v>45662</v>
      </c>
      <c r="B3" t="s">
        <v>8</v>
      </c>
      <c r="C3" t="s">
        <v>13</v>
      </c>
      <c r="D3" t="s">
        <v>16</v>
      </c>
      <c r="E3" t="s">
        <v>21</v>
      </c>
      <c r="F3" s="2">
        <v>2500000</v>
      </c>
      <c r="G3" t="s">
        <v>24</v>
      </c>
      <c r="H3" t="s">
        <v>27</v>
      </c>
    </row>
    <row r="4" spans="1:8" x14ac:dyDescent="0.3">
      <c r="A4" s="4">
        <v>45689</v>
      </c>
      <c r="B4" t="s">
        <v>9</v>
      </c>
      <c r="C4" t="s">
        <v>14</v>
      </c>
      <c r="D4" t="s">
        <v>17</v>
      </c>
      <c r="E4" t="s">
        <v>22</v>
      </c>
      <c r="F4" s="2">
        <v>5000000</v>
      </c>
      <c r="G4" t="s">
        <v>25</v>
      </c>
      <c r="H4" t="s">
        <v>27</v>
      </c>
    </row>
    <row r="5" spans="1:8" x14ac:dyDescent="0.3">
      <c r="A5" s="4">
        <v>45731</v>
      </c>
      <c r="B5" t="s">
        <v>10</v>
      </c>
      <c r="C5" t="s">
        <v>15</v>
      </c>
      <c r="D5" t="s">
        <v>18</v>
      </c>
      <c r="E5" t="s">
        <v>23</v>
      </c>
      <c r="F5" s="2">
        <v>3500000</v>
      </c>
      <c r="G5" t="s">
        <v>24</v>
      </c>
      <c r="H5" t="s">
        <v>27</v>
      </c>
    </row>
    <row r="6" spans="1:8" x14ac:dyDescent="0.3">
      <c r="A6" s="4">
        <v>45757</v>
      </c>
      <c r="B6" t="s">
        <v>11</v>
      </c>
      <c r="C6" t="s">
        <v>14</v>
      </c>
      <c r="D6" t="s">
        <v>19</v>
      </c>
      <c r="E6" t="s">
        <v>22</v>
      </c>
      <c r="F6" s="2">
        <v>4500000</v>
      </c>
      <c r="G6" t="s">
        <v>25</v>
      </c>
      <c r="H6" t="s">
        <v>27</v>
      </c>
    </row>
    <row r="7" spans="1:8" x14ac:dyDescent="0.3">
      <c r="A7" s="4">
        <v>45797</v>
      </c>
      <c r="B7" t="s">
        <v>12</v>
      </c>
      <c r="C7" t="s">
        <v>15</v>
      </c>
      <c r="D7" t="s">
        <v>20</v>
      </c>
      <c r="E7" t="s">
        <v>23</v>
      </c>
      <c r="F7" s="2">
        <v>3000000</v>
      </c>
      <c r="G7" t="s">
        <v>26</v>
      </c>
      <c r="H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14"/>
  <sheetViews>
    <sheetView workbookViewId="0"/>
  </sheetViews>
  <sheetFormatPr defaultRowHeight="14.4" x14ac:dyDescent="0.3"/>
  <cols>
    <col min="1" max="1" width="12.6640625" style="1" customWidth="1"/>
    <col min="2" max="5" width="25.6640625" customWidth="1"/>
    <col min="6" max="6" width="18.6640625" style="2" customWidth="1"/>
    <col min="7" max="8" width="15.6640625" customWidth="1"/>
  </cols>
  <sheetData>
    <row r="2" spans="1:8" x14ac:dyDescent="0.3">
      <c r="A2" s="3" t="s">
        <v>0</v>
      </c>
      <c r="B2" s="3" t="s">
        <v>29</v>
      </c>
      <c r="C2" s="3" t="s">
        <v>30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3">
      <c r="A3" s="4">
        <v>45667</v>
      </c>
      <c r="B3" t="s">
        <v>31</v>
      </c>
      <c r="C3" t="s">
        <v>43</v>
      </c>
      <c r="D3" t="s">
        <v>54</v>
      </c>
      <c r="E3" t="s">
        <v>66</v>
      </c>
      <c r="F3" s="2">
        <v>150000</v>
      </c>
      <c r="G3" t="s">
        <v>73</v>
      </c>
      <c r="H3" t="s">
        <v>76</v>
      </c>
    </row>
    <row r="4" spans="1:8" x14ac:dyDescent="0.3">
      <c r="A4" s="4">
        <v>45672</v>
      </c>
      <c r="B4" t="s">
        <v>32</v>
      </c>
      <c r="C4" t="s">
        <v>44</v>
      </c>
      <c r="D4" t="s">
        <v>55</v>
      </c>
      <c r="E4" t="s">
        <v>67</v>
      </c>
      <c r="F4" s="2">
        <v>450000</v>
      </c>
      <c r="G4" t="s">
        <v>74</v>
      </c>
      <c r="H4" t="s">
        <v>76</v>
      </c>
    </row>
    <row r="5" spans="1:8" x14ac:dyDescent="0.3">
      <c r="A5" s="4">
        <v>45682</v>
      </c>
      <c r="B5" t="s">
        <v>33</v>
      </c>
      <c r="C5" t="s">
        <v>45</v>
      </c>
      <c r="D5" t="s">
        <v>56</v>
      </c>
      <c r="E5" t="s">
        <v>68</v>
      </c>
      <c r="F5" s="2">
        <v>480000</v>
      </c>
      <c r="G5" t="s">
        <v>75</v>
      </c>
      <c r="H5" t="s">
        <v>76</v>
      </c>
    </row>
    <row r="6" spans="1:8" x14ac:dyDescent="0.3">
      <c r="A6" s="4">
        <v>45690</v>
      </c>
      <c r="B6" t="s">
        <v>34</v>
      </c>
      <c r="C6" t="s">
        <v>46</v>
      </c>
      <c r="D6" t="s">
        <v>57</v>
      </c>
      <c r="E6" t="s">
        <v>68</v>
      </c>
      <c r="F6" s="2">
        <v>1350000</v>
      </c>
      <c r="G6" t="s">
        <v>24</v>
      </c>
      <c r="H6" t="s">
        <v>76</v>
      </c>
    </row>
    <row r="7" spans="1:8" x14ac:dyDescent="0.3">
      <c r="A7" s="4">
        <v>45698</v>
      </c>
      <c r="B7" t="s">
        <v>35</v>
      </c>
      <c r="C7" t="s">
        <v>47</v>
      </c>
      <c r="D7" t="s">
        <v>58</v>
      </c>
      <c r="E7" t="s">
        <v>69</v>
      </c>
      <c r="F7" s="2">
        <v>850000</v>
      </c>
      <c r="G7" t="s">
        <v>74</v>
      </c>
      <c r="H7" t="s">
        <v>76</v>
      </c>
    </row>
    <row r="8" spans="1:8" x14ac:dyDescent="0.3">
      <c r="A8" s="4">
        <v>45708</v>
      </c>
      <c r="B8" t="s">
        <v>36</v>
      </c>
      <c r="C8" t="s">
        <v>48</v>
      </c>
      <c r="D8" t="s">
        <v>59</v>
      </c>
      <c r="E8" t="s">
        <v>68</v>
      </c>
      <c r="F8" s="2">
        <v>600000</v>
      </c>
      <c r="G8" t="s">
        <v>74</v>
      </c>
      <c r="H8" t="s">
        <v>76</v>
      </c>
    </row>
    <row r="9" spans="1:8" x14ac:dyDescent="0.3">
      <c r="A9" s="4">
        <v>45721</v>
      </c>
      <c r="B9" t="s">
        <v>37</v>
      </c>
      <c r="C9" t="s">
        <v>49</v>
      </c>
      <c r="D9" t="s">
        <v>60</v>
      </c>
      <c r="E9" t="s">
        <v>68</v>
      </c>
      <c r="F9" s="2">
        <v>750000</v>
      </c>
      <c r="G9" t="s">
        <v>24</v>
      </c>
      <c r="H9" t="s">
        <v>76</v>
      </c>
    </row>
    <row r="10" spans="1:8" x14ac:dyDescent="0.3">
      <c r="A10" s="4">
        <v>45731</v>
      </c>
      <c r="B10" t="s">
        <v>38</v>
      </c>
      <c r="C10" t="s">
        <v>47</v>
      </c>
      <c r="D10" t="s">
        <v>61</v>
      </c>
      <c r="E10" t="s">
        <v>69</v>
      </c>
      <c r="F10" s="2">
        <v>900000</v>
      </c>
      <c r="G10" t="s">
        <v>74</v>
      </c>
      <c r="H10" t="s">
        <v>76</v>
      </c>
    </row>
    <row r="11" spans="1:8" x14ac:dyDescent="0.3">
      <c r="A11" s="4">
        <v>45741</v>
      </c>
      <c r="B11" t="s">
        <v>39</v>
      </c>
      <c r="C11" t="s">
        <v>50</v>
      </c>
      <c r="D11" t="s">
        <v>62</v>
      </c>
      <c r="E11" t="s">
        <v>70</v>
      </c>
      <c r="F11" s="2">
        <v>350000</v>
      </c>
      <c r="G11" t="s">
        <v>75</v>
      </c>
      <c r="H11" t="s">
        <v>76</v>
      </c>
    </row>
    <row r="12" spans="1:8" x14ac:dyDescent="0.3">
      <c r="A12" s="4">
        <v>45752</v>
      </c>
      <c r="B12" t="s">
        <v>40</v>
      </c>
      <c r="C12" t="s">
        <v>51</v>
      </c>
      <c r="D12" t="s">
        <v>63</v>
      </c>
      <c r="E12" t="s">
        <v>70</v>
      </c>
      <c r="F12" s="2">
        <v>420000</v>
      </c>
      <c r="G12" t="s">
        <v>24</v>
      </c>
      <c r="H12" t="s">
        <v>28</v>
      </c>
    </row>
    <row r="13" spans="1:8" x14ac:dyDescent="0.3">
      <c r="A13" s="4">
        <v>45762</v>
      </c>
      <c r="B13" t="s">
        <v>41</v>
      </c>
      <c r="C13" t="s">
        <v>52</v>
      </c>
      <c r="D13" t="s">
        <v>64</v>
      </c>
      <c r="E13" t="s">
        <v>71</v>
      </c>
      <c r="F13" s="2">
        <v>250000</v>
      </c>
      <c r="G13" t="s">
        <v>74</v>
      </c>
      <c r="H13" t="s">
        <v>76</v>
      </c>
    </row>
    <row r="14" spans="1:8" x14ac:dyDescent="0.3">
      <c r="A14" s="4">
        <v>45767</v>
      </c>
      <c r="B14" t="s">
        <v>42</v>
      </c>
      <c r="C14" t="s">
        <v>53</v>
      </c>
      <c r="D14" t="s">
        <v>65</v>
      </c>
      <c r="E14" t="s">
        <v>72</v>
      </c>
      <c r="F14" s="2">
        <v>90000</v>
      </c>
      <c r="G14" t="s">
        <v>74</v>
      </c>
      <c r="H14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8"/>
  <sheetViews>
    <sheetView showGridLines="0" tabSelected="1" workbookViewId="0">
      <selection activeCell="E21" sqref="E21"/>
    </sheetView>
  </sheetViews>
  <sheetFormatPr defaultRowHeight="14.4" x14ac:dyDescent="0.3"/>
  <cols>
    <col min="2" max="5" width="22.6640625" customWidth="1"/>
  </cols>
  <sheetData>
    <row r="2" spans="2:6" ht="21" x14ac:dyDescent="0.4">
      <c r="B2" s="10" t="s">
        <v>77</v>
      </c>
      <c r="C2" s="10"/>
      <c r="D2" s="10"/>
      <c r="E2" s="10"/>
      <c r="F2" s="10"/>
    </row>
    <row r="5" spans="2:6" x14ac:dyDescent="0.3">
      <c r="B5" s="5" t="s">
        <v>78</v>
      </c>
      <c r="C5" s="5" t="s">
        <v>79</v>
      </c>
      <c r="D5" s="5" t="s">
        <v>80</v>
      </c>
    </row>
    <row r="6" spans="2:6" ht="18" x14ac:dyDescent="0.35">
      <c r="B6" s="6">
        <f>SUM(Receipts!F:F)</f>
        <v>18500000</v>
      </c>
      <c r="C6" s="6">
        <f>SUM(Payments!F:F)</f>
        <v>6640000</v>
      </c>
      <c r="D6" s="6">
        <f>B6-C6</f>
        <v>11860000</v>
      </c>
    </row>
    <row r="8" spans="2:6" ht="18" x14ac:dyDescent="0.35">
      <c r="B8" s="7" t="s">
        <v>81</v>
      </c>
    </row>
    <row r="10" spans="2:6" x14ac:dyDescent="0.3">
      <c r="B10" s="3" t="s">
        <v>4</v>
      </c>
      <c r="C10" s="3" t="s">
        <v>82</v>
      </c>
      <c r="D10" s="3" t="s">
        <v>83</v>
      </c>
      <c r="E10" s="3" t="s">
        <v>84</v>
      </c>
    </row>
    <row r="11" spans="2:6" x14ac:dyDescent="0.3">
      <c r="B11" t="s">
        <v>68</v>
      </c>
      <c r="C11" s="2">
        <v>4000000</v>
      </c>
      <c r="D11" s="2">
        <f>SUMIF(Payments!E:E, "Materials", Payments!F:F)</f>
        <v>3180000</v>
      </c>
      <c r="E11" s="2">
        <f t="shared" ref="E11:E17" si="0">C11-D11</f>
        <v>820000</v>
      </c>
    </row>
    <row r="12" spans="2:6" x14ac:dyDescent="0.3">
      <c r="B12" t="s">
        <v>69</v>
      </c>
      <c r="C12" s="2">
        <v>2000000</v>
      </c>
      <c r="D12" s="2">
        <f>SUMIF(Payments!E:E, "Labor", Payments!F:F)</f>
        <v>1750000</v>
      </c>
      <c r="E12" s="2">
        <f t="shared" si="0"/>
        <v>250000</v>
      </c>
    </row>
    <row r="13" spans="2:6" x14ac:dyDescent="0.3">
      <c r="B13" t="s">
        <v>70</v>
      </c>
      <c r="C13" s="2">
        <v>1000000</v>
      </c>
      <c r="D13" s="2">
        <f>SUMIF(Payments!E:E, "Subcontractor", Payments!F:F)</f>
        <v>770000</v>
      </c>
      <c r="E13" s="2">
        <f t="shared" si="0"/>
        <v>230000</v>
      </c>
    </row>
    <row r="14" spans="2:6" x14ac:dyDescent="0.3">
      <c r="B14" t="s">
        <v>67</v>
      </c>
      <c r="C14" s="2">
        <v>500000</v>
      </c>
      <c r="D14" s="2">
        <f>SUMIF(Payments!E:E, "Site Prep", Payments!F:F)</f>
        <v>450000</v>
      </c>
      <c r="E14" s="2">
        <f t="shared" si="0"/>
        <v>50000</v>
      </c>
    </row>
    <row r="15" spans="2:6" x14ac:dyDescent="0.3">
      <c r="B15" t="s">
        <v>71</v>
      </c>
      <c r="C15" s="2">
        <v>300000</v>
      </c>
      <c r="D15" s="2">
        <f>SUMIF(Payments!E:E, "Equipment", Payments!F:F)</f>
        <v>250000</v>
      </c>
      <c r="E15" s="2">
        <f t="shared" si="0"/>
        <v>50000</v>
      </c>
    </row>
    <row r="16" spans="2:6" x14ac:dyDescent="0.3">
      <c r="B16" t="s">
        <v>66</v>
      </c>
      <c r="C16" s="2">
        <v>200000</v>
      </c>
      <c r="D16" s="2">
        <f>SUMIF(Payments!E:E, "Permits", Payments!F:F)</f>
        <v>150000</v>
      </c>
      <c r="E16" s="2">
        <f t="shared" si="0"/>
        <v>50000</v>
      </c>
    </row>
    <row r="17" spans="2:5" x14ac:dyDescent="0.3">
      <c r="B17" t="s">
        <v>72</v>
      </c>
      <c r="C17" s="2">
        <v>150000</v>
      </c>
      <c r="D17" s="2">
        <f>SUMIF(Payments!E:E, "Overhead", Payments!F:F)</f>
        <v>90000</v>
      </c>
      <c r="E17" s="2">
        <f t="shared" si="0"/>
        <v>60000</v>
      </c>
    </row>
    <row r="18" spans="2:5" x14ac:dyDescent="0.3">
      <c r="B18" s="8" t="s">
        <v>85</v>
      </c>
      <c r="C18" s="9">
        <f>SUM(C11:C17)</f>
        <v>8150000</v>
      </c>
      <c r="D18" s="9">
        <f>SUM(D11:D17)</f>
        <v>6640000</v>
      </c>
      <c r="E18" s="9">
        <f>SUM(E11:E17)</f>
        <v>1510000</v>
      </c>
    </row>
  </sheetData>
  <mergeCells count="1">
    <mergeCell ref="B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Receipts</vt:lpstr>
      <vt:lpstr>Payments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Syed Shah Mir Ul Hassan</cp:lastModifiedBy>
  <dcterms:created xsi:type="dcterms:W3CDTF">2026-01-01T06:02:22Z</dcterms:created>
  <dcterms:modified xsi:type="dcterms:W3CDTF">2026-01-01T06:05:31Z</dcterms:modified>
</cp:coreProperties>
</file>